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11800_cognizant_com/Documents/Desktop/PayerIQ/"/>
    </mc:Choice>
  </mc:AlternateContent>
  <xr:revisionPtr revIDLastSave="3" documentId="8_{49A4BD91-9FA7-4ED9-BE24-A2ADAD1901B9}" xr6:coauthVersionLast="47" xr6:coauthVersionMax="47" xr10:uidLastSave="{B15BC01D-7FEE-455D-A0AF-F4632389DE2E}"/>
  <bookViews>
    <workbookView xWindow="-110" yWindow="-110" windowWidth="19420" windowHeight="10300" xr2:uid="{00000000-000D-0000-FFFF-FFFF00000000}"/>
  </bookViews>
  <sheets>
    <sheet name="Overpayment Claims" sheetId="1" r:id="rId1"/>
    <sheet name="Summary" sheetId="2" r:id="rId2"/>
    <sheet name="Data Dictiona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A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Unique claim identifier supplied in the vendor overpayment claim extract.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Vendor/source adjustment or recovery tracking number.</t>
        </r>
      </text>
    </comment>
    <comment ref="K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Refund or recovery amount identified as overpaid.</t>
        </r>
      </text>
    </comment>
    <comment ref="L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Correct payment amount after audit adjustment. In this sample, Total Correct Amount = Total Paid Amount - Total Refund Amount.</t>
        </r>
      </text>
    </comment>
    <comment ref="M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Audit classification used to group recovery activity.</t>
        </r>
      </text>
    </comment>
    <comment ref="N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Overpayment reason/concept used for reporting and workflow routing.</t>
        </r>
      </text>
    </comment>
  </commentList>
</comments>
</file>

<file path=xl/sharedStrings.xml><?xml version="1.0" encoding="utf-8"?>
<sst xmlns="http://schemas.openxmlformats.org/spreadsheetml/2006/main" count="328" uniqueCount="201">
  <si>
    <t>Sample Vendor Overpayment Claims Extract - Cotiviti</t>
  </si>
  <si>
    <t>Synthetic sample data for product, reporting, and requirements discussion only. Not PHI/PII.</t>
  </si>
  <si>
    <t>Claim Number</t>
  </si>
  <si>
    <t>Source Adjustment Number</t>
  </si>
  <si>
    <t>Paid Date</t>
  </si>
  <si>
    <t>Total Paid Amount</t>
  </si>
  <si>
    <t>Total Allowed Amount</t>
  </si>
  <si>
    <t>Subscriber ID</t>
  </si>
  <si>
    <t>Dependent Number</t>
  </si>
  <si>
    <t>Member Unique ID</t>
  </si>
  <si>
    <t>Servicing Provider NPI</t>
  </si>
  <si>
    <t>Servicing Provider Name</t>
  </si>
  <si>
    <t>Total Refund Amount</t>
  </si>
  <si>
    <t>Total Correct Amount</t>
  </si>
  <si>
    <t>Audit Type</t>
  </si>
  <si>
    <t>Overpayment Concept Name</t>
  </si>
  <si>
    <t>CLM2026000001</t>
  </si>
  <si>
    <t>COT-ADJ-2026-00001</t>
  </si>
  <si>
    <t>SUB28728463</t>
  </si>
  <si>
    <t>00</t>
  </si>
  <si>
    <t>MUID-28463-00</t>
  </si>
  <si>
    <t>1780642395</t>
  </si>
  <si>
    <t>Delaware Valley Urgent Care</t>
  </si>
  <si>
    <t>Coordination of Benefits</t>
  </si>
  <si>
    <t>Units Billed Exceed Policy Limit</t>
  </si>
  <si>
    <t>CLM2026000002</t>
  </si>
  <si>
    <t>COT-ADJ-2026-00002</t>
  </si>
  <si>
    <t>SUB90801586</t>
  </si>
  <si>
    <t>MUID-01586-00</t>
  </si>
  <si>
    <t>DRG Validation</t>
  </si>
  <si>
    <t>Prior Authorization Not Found</t>
  </si>
  <si>
    <t>CLM2026000003</t>
  </si>
  <si>
    <t>COT-ADJ-2026-00003</t>
  </si>
  <si>
    <t>SUB47338124</t>
  </si>
  <si>
    <t>MUID-38124-00</t>
  </si>
  <si>
    <t>1821075932</t>
  </si>
  <si>
    <t>Keystone Imaging Center</t>
  </si>
  <si>
    <t>Eligibility Review</t>
  </si>
  <si>
    <t>Unbundled Procedure Code</t>
  </si>
  <si>
    <t>CLM2026000004</t>
  </si>
  <si>
    <t>COT-ADJ-2026-00004</t>
  </si>
  <si>
    <t>SUB22448136</t>
  </si>
  <si>
    <t>03</t>
  </si>
  <si>
    <t>MUID-48136-03</t>
  </si>
  <si>
    <t>1417956234</t>
  </si>
  <si>
    <t>Wayne Orthopedic Associates</t>
  </si>
  <si>
    <t>Clinical Coding Review</t>
  </si>
  <si>
    <t>CLM2026000005</t>
  </si>
  <si>
    <t>COT-ADJ-2026-00005</t>
  </si>
  <si>
    <t>SUB26753883</t>
  </si>
  <si>
    <t>MUID-53883-03</t>
  </si>
  <si>
    <t>Contract Compliance</t>
  </si>
  <si>
    <t>Incorrect Provider Specialty Pricing</t>
  </si>
  <si>
    <t>CLM2026000006</t>
  </si>
  <si>
    <t>COT-ADJ-2026-00006</t>
  </si>
  <si>
    <t>SUB19335534</t>
  </si>
  <si>
    <t>MUID-35534-00</t>
  </si>
  <si>
    <t>1770584216</t>
  </si>
  <si>
    <t>Suburban Cardiology Group</t>
  </si>
  <si>
    <t>Incorrect Contract Rate</t>
  </si>
  <si>
    <t>CLM2026000007</t>
  </si>
  <si>
    <t>COT-ADJ-2026-00007</t>
  </si>
  <si>
    <t>SUB58966946</t>
  </si>
  <si>
    <t>01</t>
  </si>
  <si>
    <t>MUID-66946-01</t>
  </si>
  <si>
    <t>1609876543</t>
  </si>
  <si>
    <t>Brandywine Physical Therapy</t>
  </si>
  <si>
    <t>Member Not Eligible on DOS</t>
  </si>
  <si>
    <t>CLM2026000008</t>
  </si>
  <si>
    <t>COT-ADJ-2026-00008</t>
  </si>
  <si>
    <t>SUB91756179</t>
  </si>
  <si>
    <t>MUID-56179-01</t>
  </si>
  <si>
    <t>COB Primary Payer Identified</t>
  </si>
  <si>
    <t>CLM2026000009</t>
  </si>
  <si>
    <t>COT-ADJ-2026-00009</t>
  </si>
  <si>
    <t>SUB84752529</t>
  </si>
  <si>
    <t>MUID-52529-01</t>
  </si>
  <si>
    <t>Post-Payment Audit</t>
  </si>
  <si>
    <t>CLM2026000010</t>
  </si>
  <si>
    <t>COT-ADJ-2026-00010</t>
  </si>
  <si>
    <t>SUB86125617</t>
  </si>
  <si>
    <t>02</t>
  </si>
  <si>
    <t>MUID-25617-02</t>
  </si>
  <si>
    <t>Payment Policy Review</t>
  </si>
  <si>
    <t>Overlapping Inpatient Stay</t>
  </si>
  <si>
    <t>CLM2026000011</t>
  </si>
  <si>
    <t>COT-ADJ-2026-00011</t>
  </si>
  <si>
    <t>SUB85345555</t>
  </si>
  <si>
    <t>MUID-45555-02</t>
  </si>
  <si>
    <t>1659347821</t>
  </si>
  <si>
    <t>Paoli Specialty Clinic</t>
  </si>
  <si>
    <t>CLM2026000012</t>
  </si>
  <si>
    <t>COT-ADJ-2026-00012</t>
  </si>
  <si>
    <t>SUB76238574</t>
  </si>
  <si>
    <t>MUID-38574-00</t>
  </si>
  <si>
    <t>1568463729</t>
  </si>
  <si>
    <t>Main Line Family Medicine</t>
  </si>
  <si>
    <t>CLM2026000013</t>
  </si>
  <si>
    <t>COT-ADJ-2026-00013</t>
  </si>
  <si>
    <t>SUB61642594</t>
  </si>
  <si>
    <t>MUID-42594-03</t>
  </si>
  <si>
    <t>Place of Service Mismatch</t>
  </si>
  <si>
    <t>CLM2026000014</t>
  </si>
  <si>
    <t>COT-ADJ-2026-00014</t>
  </si>
  <si>
    <t>SUB25374874</t>
  </si>
  <si>
    <t>MUID-74874-02</t>
  </si>
  <si>
    <t>DRG Downcode Adjustment</t>
  </si>
  <si>
    <t>CLM2026000015</t>
  </si>
  <si>
    <t>COT-ADJ-2026-00015</t>
  </si>
  <si>
    <t>SUB45351479</t>
  </si>
  <si>
    <t>MUID-51479-01</t>
  </si>
  <si>
    <t>CLM2026000016</t>
  </si>
  <si>
    <t>COT-ADJ-2026-00016</t>
  </si>
  <si>
    <t>SUB60185867</t>
  </si>
  <si>
    <t>MUID-85867-01</t>
  </si>
  <si>
    <t>CLM2026000017</t>
  </si>
  <si>
    <t>COT-ADJ-2026-00017</t>
  </si>
  <si>
    <t>SUB51273847</t>
  </si>
  <si>
    <t>MUID-73847-01</t>
  </si>
  <si>
    <t>CLM2026000018</t>
  </si>
  <si>
    <t>COT-ADJ-2026-00018</t>
  </si>
  <si>
    <t>SUB81498611</t>
  </si>
  <si>
    <t>MUID-98611-01</t>
  </si>
  <si>
    <t>CLM2026000019</t>
  </si>
  <si>
    <t>COT-ADJ-2026-00019</t>
  </si>
  <si>
    <t>SUB38427073</t>
  </si>
  <si>
    <t>MUID-27073-01</t>
  </si>
  <si>
    <t>1932198461</t>
  </si>
  <si>
    <t>Penn Valley Lab Services</t>
  </si>
  <si>
    <t>CLM2026000020</t>
  </si>
  <si>
    <t>COT-ADJ-2026-00020</t>
  </si>
  <si>
    <t>SUB43273328</t>
  </si>
  <si>
    <t>MUID-73328-01</t>
  </si>
  <si>
    <t>Duplicate Payment</t>
  </si>
  <si>
    <t>CLM2026000021</t>
  </si>
  <si>
    <t>COT-ADJ-2026-00021</t>
  </si>
  <si>
    <t>SUB94705205</t>
  </si>
  <si>
    <t>MUID-05205-00</t>
  </si>
  <si>
    <t>CLM2026000022</t>
  </si>
  <si>
    <t>COT-ADJ-2026-00022</t>
  </si>
  <si>
    <t>SUB38754377</t>
  </si>
  <si>
    <t>MUID-54377-01</t>
  </si>
  <si>
    <t>CLM2026000023</t>
  </si>
  <si>
    <t>COT-ADJ-2026-00023</t>
  </si>
  <si>
    <t>SUB98447167</t>
  </si>
  <si>
    <t>MUID-47167-03</t>
  </si>
  <si>
    <t>CLM2026000024</t>
  </si>
  <si>
    <t>COT-ADJ-2026-00024</t>
  </si>
  <si>
    <t>SUB96728778</t>
  </si>
  <si>
    <t>MUID-28778-00</t>
  </si>
  <si>
    <t>CLM2026000025</t>
  </si>
  <si>
    <t>COT-ADJ-2026-00025</t>
  </si>
  <si>
    <t>SUB81979055</t>
  </si>
  <si>
    <t>MUID-79055-03</t>
  </si>
  <si>
    <t>CLM2026000026</t>
  </si>
  <si>
    <t>COT-ADJ-2026-00026</t>
  </si>
  <si>
    <t>SUB83863413</t>
  </si>
  <si>
    <t>MUID-63413-00</t>
  </si>
  <si>
    <t>CLM2026000027</t>
  </si>
  <si>
    <t>COT-ADJ-2026-00027</t>
  </si>
  <si>
    <t>SUB38688676</t>
  </si>
  <si>
    <t>MUID-88676-03</t>
  </si>
  <si>
    <t>Duplicate Claim Review</t>
  </si>
  <si>
    <t>CLM2026000028</t>
  </si>
  <si>
    <t>COT-ADJ-2026-00028</t>
  </si>
  <si>
    <t>SUB71070189</t>
  </si>
  <si>
    <t>MUID-70189-02</t>
  </si>
  <si>
    <t>1205847391</t>
  </si>
  <si>
    <t>Chester County Hospitalists</t>
  </si>
  <si>
    <t>CLM2026000029</t>
  </si>
  <si>
    <t>COT-ADJ-2026-00029</t>
  </si>
  <si>
    <t>SUB82772208</t>
  </si>
  <si>
    <t>MUID-72208-00</t>
  </si>
  <si>
    <t>CLM2026000030</t>
  </si>
  <si>
    <t>COT-ADJ-2026-00030</t>
  </si>
  <si>
    <t>SUB17634247</t>
  </si>
  <si>
    <t>MUID-34247-00</t>
  </si>
  <si>
    <t>Cotiviti Overpayment Claims Sample - Summary</t>
  </si>
  <si>
    <t>Metric</t>
  </si>
  <si>
    <t>Value</t>
  </si>
  <si>
    <t>Record Count</t>
  </si>
  <si>
    <t>Average Refund Amount</t>
  </si>
  <si>
    <t>Note</t>
  </si>
  <si>
    <t>Data is fully synthetic and intended for requirements/design examples only.</t>
  </si>
  <si>
    <t>Data Dictionary</t>
  </si>
  <si>
    <t>Field</t>
  </si>
  <si>
    <t>Description</t>
  </si>
  <si>
    <t>Unique claim identifier supplied in the vendor file.</t>
  </si>
  <si>
    <t>Vendor/source recovery or adjustment tracking reference.</t>
  </si>
  <si>
    <t>Date the original claim payment was issued.</t>
  </si>
  <si>
    <t>Original amount paid for the claim.</t>
  </si>
  <si>
    <t>Amount allowed based on plan/contract rules.</t>
  </si>
  <si>
    <t>Synthetic subscriber identifier.</t>
  </si>
  <si>
    <t>Synthetic dependent sequence, where 00 commonly represents subscriber.</t>
  </si>
  <si>
    <t>Synthetic member-level identifier for the member tied to the claim.</t>
  </si>
  <si>
    <t>Synthetic 10-digit NPI-like value for the servicing provider.</t>
  </si>
  <si>
    <t>Synthetic provider organization name.</t>
  </si>
  <si>
    <t>Amount identified for recovery/refund due to overpayment.</t>
  </si>
  <si>
    <t>Corrected paid amount after the refund adjustment.</t>
  </si>
  <si>
    <t>Audit category used to classify the overpayment finding.</t>
  </si>
  <si>
    <t>Overpayment reason or concept used for reporting and routing.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</si>
</sst>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[Red]\(\$#,##0.00\);\-"/>
  </numFmts>
  <fonts count="7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8"/>
      <color theme="1"/>
      <name val="Calibri"/>
      <family val="2"/>
      <scheme val="minor"/>
    </font>
    <font>
      <b/>
      <sz val="8"/>
      <color rgb="FFFFFFFF"/>
      <name val="Calibri"/>
      <family val="2"/>
    </font>
    <font>
      <i/>
      <sz val="8"/>
      <color rgb="FF66666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vertical="top" wrapText="1"/>
    </xf>
    <xf numFmtId="0" fontId="2" fillId="3" borderId="1" xfId="0" applyFont="1" applyFill="1" applyBorder="1"/>
    <xf numFmtId="0" fontId="2" fillId="3" borderId="0" xfId="0" applyFont="1" applyFill="1"/>
    <xf numFmtId="0" fontId="0" fillId="0" borderId="1" xfId="0" applyBorder="1"/>
    <xf numFmtId="165" fontId="0" fillId="0" borderId="1" xfId="0" applyNumberFormat="1" applyBorder="1"/>
    <xf numFmtId="0" fontId="3" fillId="0" borderId="1" xfId="0" applyFont="1" applyBorder="1"/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0" fillId="0" borderId="0" xfId="0"/>
    <xf numFmtId="0" fontId="1" fillId="2" borderId="1" xfId="0" applyFont="1" applyFill="1" applyBorder="1"/>
    <xf numFmtId="165" fontId="4" fillId="0" borderId="1" xfId="0" applyNumberFormat="1" applyFont="1" applyBorder="1" applyAlignment="1">
      <alignment vertical="top" wrapText="1"/>
    </xf>
    <xf numFmtId="0" fontId="5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/>
    <xf numFmtId="0" fontId="6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verpaymentClaims" displayName="OverpaymentClaims" ref="A4:N34" headerRowDxfId="2" dataDxfId="0" totalsRowDxfId="1">
  <autoFilter ref="A4:N34" xr:uid="{00000000-0009-0000-0100-000001000000}"/>
  <tableColumns count="14">
    <tableColumn id="1" xr3:uid="{00000000-0010-0000-0000-000001000000}" name="Claim Number" dataDxfId="16"/>
    <tableColumn id="2" xr3:uid="{00000000-0010-0000-0000-000002000000}" name="Source Adjustment Number" dataDxfId="15"/>
    <tableColumn id="3" xr3:uid="{00000000-0010-0000-0000-000003000000}" name="Paid Date" dataDxfId="14"/>
    <tableColumn id="4" xr3:uid="{00000000-0010-0000-0000-000004000000}" name="Total Paid Amount" dataDxfId="13"/>
    <tableColumn id="5" xr3:uid="{00000000-0010-0000-0000-000005000000}" name="Total Allowed Amount" dataDxfId="12"/>
    <tableColumn id="6" xr3:uid="{00000000-0010-0000-0000-000006000000}" name="Subscriber ID" dataDxfId="11"/>
    <tableColumn id="7" xr3:uid="{00000000-0010-0000-0000-000007000000}" name="Dependent Number" dataDxfId="10"/>
    <tableColumn id="8" xr3:uid="{00000000-0010-0000-0000-000008000000}" name="Member Unique ID" dataDxfId="9"/>
    <tableColumn id="9" xr3:uid="{00000000-0010-0000-0000-000009000000}" name="Servicing Provider NPI" dataDxfId="8"/>
    <tableColumn id="10" xr3:uid="{00000000-0010-0000-0000-00000A000000}" name="Servicing Provider Name" dataDxfId="7"/>
    <tableColumn id="11" xr3:uid="{00000000-0010-0000-0000-00000B000000}" name="Total Refund Amount" dataDxfId="6"/>
    <tableColumn id="12" xr3:uid="{00000000-0010-0000-0000-00000C000000}" name="Total Correct Amount" dataDxfId="5"/>
    <tableColumn id="13" xr3:uid="{00000000-0010-0000-0000-00000D000000}" name="Audit Type" dataDxfId="4"/>
    <tableColumn id="14" xr3:uid="{00000000-0010-0000-0000-00000E000000}" name="Overpayment Concept Nam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showGridLines="0" tabSelected="1" workbookViewId="0">
      <pane ySplit="4" topLeftCell="A7" activePane="bottomLeft" state="frozen"/>
      <selection pane="bottomLeft" sqref="A1:XFD1048576"/>
    </sheetView>
  </sheetViews>
  <sheetFormatPr defaultColWidth="10.81640625" defaultRowHeight="10.5" x14ac:dyDescent="0.25"/>
  <cols>
    <col min="1" max="16384" width="10.81640625" style="14"/>
  </cols>
  <sheetData>
    <row r="1" spans="1:14" ht="24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5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4" ht="34" customHeight="1" x14ac:dyDescent="0.25">
      <c r="A4" s="16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6" t="s">
        <v>12</v>
      </c>
      <c r="L4" s="16" t="s">
        <v>13</v>
      </c>
      <c r="M4" s="16" t="s">
        <v>14</v>
      </c>
      <c r="N4" s="16" t="s">
        <v>15</v>
      </c>
    </row>
    <row r="5" spans="1:14" x14ac:dyDescent="0.25">
      <c r="A5" s="17" t="s">
        <v>16</v>
      </c>
      <c r="B5" s="17" t="s">
        <v>17</v>
      </c>
      <c r="C5" s="18">
        <v>46191</v>
      </c>
      <c r="D5" s="11">
        <v>2647.13</v>
      </c>
      <c r="E5" s="11">
        <v>2370.66</v>
      </c>
      <c r="F5" s="17" t="s">
        <v>18</v>
      </c>
      <c r="G5" s="17" t="s">
        <v>19</v>
      </c>
      <c r="H5" s="17" t="s">
        <v>20</v>
      </c>
      <c r="I5" s="17" t="s">
        <v>21</v>
      </c>
      <c r="J5" s="19" t="s">
        <v>22</v>
      </c>
      <c r="K5" s="11">
        <v>316.3</v>
      </c>
      <c r="L5" s="11">
        <v>2330.83</v>
      </c>
      <c r="M5" s="19" t="s">
        <v>23</v>
      </c>
      <c r="N5" s="19" t="s">
        <v>24</v>
      </c>
    </row>
    <row r="6" spans="1:14" x14ac:dyDescent="0.25">
      <c r="A6" s="17" t="s">
        <v>25</v>
      </c>
      <c r="B6" s="17" t="s">
        <v>26</v>
      </c>
      <c r="C6" s="18">
        <v>46136</v>
      </c>
      <c r="D6" s="11">
        <v>794.76</v>
      </c>
      <c r="E6" s="11">
        <v>926.86</v>
      </c>
      <c r="F6" s="17" t="s">
        <v>27</v>
      </c>
      <c r="G6" s="17" t="s">
        <v>19</v>
      </c>
      <c r="H6" s="17" t="s">
        <v>28</v>
      </c>
      <c r="I6" s="17" t="s">
        <v>21</v>
      </c>
      <c r="J6" s="19" t="s">
        <v>22</v>
      </c>
      <c r="K6" s="11">
        <v>91.61</v>
      </c>
      <c r="L6" s="11">
        <v>703.15</v>
      </c>
      <c r="M6" s="19" t="s">
        <v>29</v>
      </c>
      <c r="N6" s="19" t="s">
        <v>30</v>
      </c>
    </row>
    <row r="7" spans="1:14" x14ac:dyDescent="0.25">
      <c r="A7" s="17" t="s">
        <v>31</v>
      </c>
      <c r="B7" s="17" t="s">
        <v>32</v>
      </c>
      <c r="C7" s="18">
        <v>46194</v>
      </c>
      <c r="D7" s="11">
        <v>12919.59</v>
      </c>
      <c r="E7" s="11">
        <v>13079.05</v>
      </c>
      <c r="F7" s="17" t="s">
        <v>33</v>
      </c>
      <c r="G7" s="17" t="s">
        <v>19</v>
      </c>
      <c r="H7" s="17" t="s">
        <v>34</v>
      </c>
      <c r="I7" s="17" t="s">
        <v>35</v>
      </c>
      <c r="J7" s="19" t="s">
        <v>36</v>
      </c>
      <c r="K7" s="11">
        <v>2454.4299999999998</v>
      </c>
      <c r="L7" s="11">
        <v>10465.16</v>
      </c>
      <c r="M7" s="19" t="s">
        <v>37</v>
      </c>
      <c r="N7" s="19" t="s">
        <v>38</v>
      </c>
    </row>
    <row r="8" spans="1:14" x14ac:dyDescent="0.25">
      <c r="A8" s="17" t="s">
        <v>39</v>
      </c>
      <c r="B8" s="17" t="s">
        <v>40</v>
      </c>
      <c r="C8" s="18">
        <v>46099</v>
      </c>
      <c r="D8" s="11">
        <v>3815.49</v>
      </c>
      <c r="E8" s="11">
        <v>3171.95</v>
      </c>
      <c r="F8" s="17" t="s">
        <v>41</v>
      </c>
      <c r="G8" s="17" t="s">
        <v>42</v>
      </c>
      <c r="H8" s="17" t="s">
        <v>43</v>
      </c>
      <c r="I8" s="17" t="s">
        <v>44</v>
      </c>
      <c r="J8" s="19" t="s">
        <v>45</v>
      </c>
      <c r="K8" s="11">
        <v>576.62</v>
      </c>
      <c r="L8" s="11">
        <v>3238.87</v>
      </c>
      <c r="M8" s="19" t="s">
        <v>46</v>
      </c>
      <c r="N8" s="19" t="s">
        <v>38</v>
      </c>
    </row>
    <row r="9" spans="1:14" x14ac:dyDescent="0.25">
      <c r="A9" s="17" t="s">
        <v>47</v>
      </c>
      <c r="B9" s="17" t="s">
        <v>48</v>
      </c>
      <c r="C9" s="18">
        <v>46182</v>
      </c>
      <c r="D9" s="11">
        <v>4313.3900000000003</v>
      </c>
      <c r="E9" s="11">
        <v>5151.05</v>
      </c>
      <c r="F9" s="17" t="s">
        <v>49</v>
      </c>
      <c r="G9" s="17" t="s">
        <v>42</v>
      </c>
      <c r="H9" s="17" t="s">
        <v>50</v>
      </c>
      <c r="I9" s="17" t="s">
        <v>44</v>
      </c>
      <c r="J9" s="19" t="s">
        <v>45</v>
      </c>
      <c r="K9" s="11">
        <v>834.65</v>
      </c>
      <c r="L9" s="11">
        <v>3478.74</v>
      </c>
      <c r="M9" s="19" t="s">
        <v>51</v>
      </c>
      <c r="N9" s="19" t="s">
        <v>52</v>
      </c>
    </row>
    <row r="10" spans="1:14" x14ac:dyDescent="0.25">
      <c r="A10" s="17" t="s">
        <v>53</v>
      </c>
      <c r="B10" s="17" t="s">
        <v>54</v>
      </c>
      <c r="C10" s="18">
        <v>46186</v>
      </c>
      <c r="D10" s="11">
        <v>15840.54</v>
      </c>
      <c r="E10" s="11">
        <v>16420.95</v>
      </c>
      <c r="F10" s="17" t="s">
        <v>55</v>
      </c>
      <c r="G10" s="17" t="s">
        <v>19</v>
      </c>
      <c r="H10" s="17" t="s">
        <v>56</v>
      </c>
      <c r="I10" s="17" t="s">
        <v>57</v>
      </c>
      <c r="J10" s="19" t="s">
        <v>58</v>
      </c>
      <c r="K10" s="11">
        <v>1605.27</v>
      </c>
      <c r="L10" s="11">
        <v>14235.27</v>
      </c>
      <c r="M10" s="19" t="s">
        <v>51</v>
      </c>
      <c r="N10" s="19" t="s">
        <v>59</v>
      </c>
    </row>
    <row r="11" spans="1:14" x14ac:dyDescent="0.25">
      <c r="A11" s="17" t="s">
        <v>60</v>
      </c>
      <c r="B11" s="17" t="s">
        <v>61</v>
      </c>
      <c r="C11" s="18">
        <v>46087</v>
      </c>
      <c r="D11" s="11">
        <v>15627.34</v>
      </c>
      <c r="E11" s="11">
        <v>16076.68</v>
      </c>
      <c r="F11" s="17" t="s">
        <v>62</v>
      </c>
      <c r="G11" s="17" t="s">
        <v>63</v>
      </c>
      <c r="H11" s="17" t="s">
        <v>64</v>
      </c>
      <c r="I11" s="17" t="s">
        <v>65</v>
      </c>
      <c r="J11" s="19" t="s">
        <v>66</v>
      </c>
      <c r="K11" s="11">
        <v>2991.49</v>
      </c>
      <c r="L11" s="11">
        <v>12635.85</v>
      </c>
      <c r="M11" s="19" t="s">
        <v>46</v>
      </c>
      <c r="N11" s="19" t="s">
        <v>67</v>
      </c>
    </row>
    <row r="12" spans="1:14" x14ac:dyDescent="0.25">
      <c r="A12" s="17" t="s">
        <v>68</v>
      </c>
      <c r="B12" s="17" t="s">
        <v>69</v>
      </c>
      <c r="C12" s="18">
        <v>46199</v>
      </c>
      <c r="D12" s="11">
        <v>6207.04</v>
      </c>
      <c r="E12" s="11">
        <v>5195.6499999999996</v>
      </c>
      <c r="F12" s="17" t="s">
        <v>70</v>
      </c>
      <c r="G12" s="17" t="s">
        <v>63</v>
      </c>
      <c r="H12" s="17" t="s">
        <v>71</v>
      </c>
      <c r="I12" s="17" t="s">
        <v>21</v>
      </c>
      <c r="J12" s="19" t="s">
        <v>22</v>
      </c>
      <c r="K12" s="11">
        <v>1604.97</v>
      </c>
      <c r="L12" s="11">
        <v>4602.07</v>
      </c>
      <c r="M12" s="19" t="s">
        <v>29</v>
      </c>
      <c r="N12" s="19" t="s">
        <v>72</v>
      </c>
    </row>
    <row r="13" spans="1:14" x14ac:dyDescent="0.25">
      <c r="A13" s="17" t="s">
        <v>73</v>
      </c>
      <c r="B13" s="17" t="s">
        <v>74</v>
      </c>
      <c r="C13" s="18">
        <v>46146</v>
      </c>
      <c r="D13" s="11">
        <v>8798.9599999999991</v>
      </c>
      <c r="E13" s="11">
        <v>7237.12</v>
      </c>
      <c r="F13" s="17" t="s">
        <v>75</v>
      </c>
      <c r="G13" s="17" t="s">
        <v>63</v>
      </c>
      <c r="H13" s="17" t="s">
        <v>76</v>
      </c>
      <c r="I13" s="17" t="s">
        <v>65</v>
      </c>
      <c r="J13" s="19" t="s">
        <v>66</v>
      </c>
      <c r="K13" s="11">
        <v>2250.77</v>
      </c>
      <c r="L13" s="11">
        <v>6548.19</v>
      </c>
      <c r="M13" s="19" t="s">
        <v>77</v>
      </c>
      <c r="N13" s="19" t="s">
        <v>67</v>
      </c>
    </row>
    <row r="14" spans="1:14" x14ac:dyDescent="0.25">
      <c r="A14" s="17" t="s">
        <v>78</v>
      </c>
      <c r="B14" s="17" t="s">
        <v>79</v>
      </c>
      <c r="C14" s="18">
        <v>46036</v>
      </c>
      <c r="D14" s="11">
        <v>14669.32</v>
      </c>
      <c r="E14" s="11">
        <v>14961.58</v>
      </c>
      <c r="F14" s="17" t="s">
        <v>80</v>
      </c>
      <c r="G14" s="17" t="s">
        <v>81</v>
      </c>
      <c r="H14" s="17" t="s">
        <v>82</v>
      </c>
      <c r="I14" s="17" t="s">
        <v>57</v>
      </c>
      <c r="J14" s="19" t="s">
        <v>58</v>
      </c>
      <c r="K14" s="11">
        <v>848.4</v>
      </c>
      <c r="L14" s="11">
        <v>13820.92</v>
      </c>
      <c r="M14" s="19" t="s">
        <v>83</v>
      </c>
      <c r="N14" s="19" t="s">
        <v>84</v>
      </c>
    </row>
    <row r="15" spans="1:14" x14ac:dyDescent="0.25">
      <c r="A15" s="17" t="s">
        <v>85</v>
      </c>
      <c r="B15" s="17" t="s">
        <v>86</v>
      </c>
      <c r="C15" s="18">
        <v>46192</v>
      </c>
      <c r="D15" s="11">
        <v>8035.56</v>
      </c>
      <c r="E15" s="11">
        <v>8678.16</v>
      </c>
      <c r="F15" s="17" t="s">
        <v>87</v>
      </c>
      <c r="G15" s="17" t="s">
        <v>81</v>
      </c>
      <c r="H15" s="17" t="s">
        <v>88</v>
      </c>
      <c r="I15" s="17" t="s">
        <v>89</v>
      </c>
      <c r="J15" s="19" t="s">
        <v>90</v>
      </c>
      <c r="K15" s="11">
        <v>964.96</v>
      </c>
      <c r="L15" s="11">
        <v>7070.6</v>
      </c>
      <c r="M15" s="19" t="s">
        <v>37</v>
      </c>
      <c r="N15" s="19" t="s">
        <v>24</v>
      </c>
    </row>
    <row r="16" spans="1:14" x14ac:dyDescent="0.25">
      <c r="A16" s="17" t="s">
        <v>91</v>
      </c>
      <c r="B16" s="17" t="s">
        <v>92</v>
      </c>
      <c r="C16" s="18">
        <v>46130</v>
      </c>
      <c r="D16" s="11">
        <v>8435.2900000000009</v>
      </c>
      <c r="E16" s="11">
        <v>6920.24</v>
      </c>
      <c r="F16" s="17" t="s">
        <v>93</v>
      </c>
      <c r="G16" s="17" t="s">
        <v>19</v>
      </c>
      <c r="H16" s="17" t="s">
        <v>94</v>
      </c>
      <c r="I16" s="17" t="s">
        <v>95</v>
      </c>
      <c r="J16" s="19" t="s">
        <v>96</v>
      </c>
      <c r="K16" s="11">
        <v>697.8</v>
      </c>
      <c r="L16" s="11">
        <v>7737.49</v>
      </c>
      <c r="M16" s="19" t="s">
        <v>23</v>
      </c>
      <c r="N16" s="19" t="s">
        <v>72</v>
      </c>
    </row>
    <row r="17" spans="1:14" x14ac:dyDescent="0.25">
      <c r="A17" s="17" t="s">
        <v>97</v>
      </c>
      <c r="B17" s="17" t="s">
        <v>98</v>
      </c>
      <c r="C17" s="18">
        <v>46188</v>
      </c>
      <c r="D17" s="11">
        <v>3553.63</v>
      </c>
      <c r="E17" s="11">
        <v>3253.67</v>
      </c>
      <c r="F17" s="17" t="s">
        <v>99</v>
      </c>
      <c r="G17" s="17" t="s">
        <v>42</v>
      </c>
      <c r="H17" s="17" t="s">
        <v>100</v>
      </c>
      <c r="I17" s="17" t="s">
        <v>89</v>
      </c>
      <c r="J17" s="19" t="s">
        <v>90</v>
      </c>
      <c r="K17" s="11">
        <v>855.58</v>
      </c>
      <c r="L17" s="11">
        <v>2698.05</v>
      </c>
      <c r="M17" s="19" t="s">
        <v>83</v>
      </c>
      <c r="N17" s="19" t="s">
        <v>101</v>
      </c>
    </row>
    <row r="18" spans="1:14" x14ac:dyDescent="0.25">
      <c r="A18" s="17" t="s">
        <v>102</v>
      </c>
      <c r="B18" s="17" t="s">
        <v>103</v>
      </c>
      <c r="C18" s="18">
        <v>46092</v>
      </c>
      <c r="D18" s="11">
        <v>20928.59</v>
      </c>
      <c r="E18" s="11">
        <v>17975.07</v>
      </c>
      <c r="F18" s="17" t="s">
        <v>104</v>
      </c>
      <c r="G18" s="17" t="s">
        <v>81</v>
      </c>
      <c r="H18" s="17" t="s">
        <v>105</v>
      </c>
      <c r="I18" s="17" t="s">
        <v>65</v>
      </c>
      <c r="J18" s="19" t="s">
        <v>66</v>
      </c>
      <c r="K18" s="11">
        <v>815.4</v>
      </c>
      <c r="L18" s="11">
        <v>20113.189999999999</v>
      </c>
      <c r="M18" s="19" t="s">
        <v>23</v>
      </c>
      <c r="N18" s="19" t="s">
        <v>106</v>
      </c>
    </row>
    <row r="19" spans="1:14" x14ac:dyDescent="0.25">
      <c r="A19" s="17" t="s">
        <v>107</v>
      </c>
      <c r="B19" s="17" t="s">
        <v>108</v>
      </c>
      <c r="C19" s="18">
        <v>46139</v>
      </c>
      <c r="D19" s="11">
        <v>2645.04</v>
      </c>
      <c r="E19" s="11">
        <v>3220.56</v>
      </c>
      <c r="F19" s="17" t="s">
        <v>109</v>
      </c>
      <c r="G19" s="17" t="s">
        <v>63</v>
      </c>
      <c r="H19" s="17" t="s">
        <v>110</v>
      </c>
      <c r="I19" s="17" t="s">
        <v>21</v>
      </c>
      <c r="J19" s="19" t="s">
        <v>22</v>
      </c>
      <c r="K19" s="11">
        <v>751.51</v>
      </c>
      <c r="L19" s="11">
        <v>1893.53</v>
      </c>
      <c r="M19" s="19" t="s">
        <v>23</v>
      </c>
      <c r="N19" s="19" t="s">
        <v>52</v>
      </c>
    </row>
    <row r="20" spans="1:14" x14ac:dyDescent="0.25">
      <c r="A20" s="17" t="s">
        <v>111</v>
      </c>
      <c r="B20" s="17" t="s">
        <v>112</v>
      </c>
      <c r="C20" s="18">
        <v>46104</v>
      </c>
      <c r="D20" s="11">
        <v>15986.72</v>
      </c>
      <c r="E20" s="11">
        <v>15626.3</v>
      </c>
      <c r="F20" s="17" t="s">
        <v>113</v>
      </c>
      <c r="G20" s="17" t="s">
        <v>63</v>
      </c>
      <c r="H20" s="17" t="s">
        <v>114</v>
      </c>
      <c r="I20" s="17" t="s">
        <v>21</v>
      </c>
      <c r="J20" s="19" t="s">
        <v>22</v>
      </c>
      <c r="K20" s="11">
        <v>1656.61</v>
      </c>
      <c r="L20" s="11">
        <v>14330.11</v>
      </c>
      <c r="M20" s="19" t="s">
        <v>77</v>
      </c>
      <c r="N20" s="19" t="s">
        <v>24</v>
      </c>
    </row>
    <row r="21" spans="1:14" x14ac:dyDescent="0.25">
      <c r="A21" s="17" t="s">
        <v>115</v>
      </c>
      <c r="B21" s="17" t="s">
        <v>116</v>
      </c>
      <c r="C21" s="18">
        <v>46110</v>
      </c>
      <c r="D21" s="11">
        <v>7971.4</v>
      </c>
      <c r="E21" s="11">
        <v>9218.19</v>
      </c>
      <c r="F21" s="17" t="s">
        <v>117</v>
      </c>
      <c r="G21" s="17" t="s">
        <v>63</v>
      </c>
      <c r="H21" s="17" t="s">
        <v>118</v>
      </c>
      <c r="I21" s="17" t="s">
        <v>95</v>
      </c>
      <c r="J21" s="19" t="s">
        <v>96</v>
      </c>
      <c r="K21" s="11">
        <v>1277.24</v>
      </c>
      <c r="L21" s="11">
        <v>6694.16</v>
      </c>
      <c r="M21" s="19" t="s">
        <v>29</v>
      </c>
      <c r="N21" s="19" t="s">
        <v>24</v>
      </c>
    </row>
    <row r="22" spans="1:14" x14ac:dyDescent="0.25">
      <c r="A22" s="17" t="s">
        <v>119</v>
      </c>
      <c r="B22" s="17" t="s">
        <v>120</v>
      </c>
      <c r="C22" s="18">
        <v>46048</v>
      </c>
      <c r="D22" s="11">
        <v>1932.03</v>
      </c>
      <c r="E22" s="11">
        <v>1904.61</v>
      </c>
      <c r="F22" s="17" t="s">
        <v>121</v>
      </c>
      <c r="G22" s="17" t="s">
        <v>63</v>
      </c>
      <c r="H22" s="17" t="s">
        <v>122</v>
      </c>
      <c r="I22" s="17" t="s">
        <v>35</v>
      </c>
      <c r="J22" s="19" t="s">
        <v>36</v>
      </c>
      <c r="K22" s="11">
        <v>113.75</v>
      </c>
      <c r="L22" s="11">
        <v>1818.28</v>
      </c>
      <c r="M22" s="19" t="s">
        <v>83</v>
      </c>
      <c r="N22" s="19" t="s">
        <v>101</v>
      </c>
    </row>
    <row r="23" spans="1:14" x14ac:dyDescent="0.25">
      <c r="A23" s="17" t="s">
        <v>123</v>
      </c>
      <c r="B23" s="17" t="s">
        <v>124</v>
      </c>
      <c r="C23" s="18">
        <v>46070</v>
      </c>
      <c r="D23" s="11">
        <v>6032.81</v>
      </c>
      <c r="E23" s="11">
        <v>5160.78</v>
      </c>
      <c r="F23" s="17" t="s">
        <v>125</v>
      </c>
      <c r="G23" s="17" t="s">
        <v>63</v>
      </c>
      <c r="H23" s="17" t="s">
        <v>126</v>
      </c>
      <c r="I23" s="17" t="s">
        <v>127</v>
      </c>
      <c r="J23" s="19" t="s">
        <v>128</v>
      </c>
      <c r="K23" s="11">
        <v>1091.83</v>
      </c>
      <c r="L23" s="11">
        <v>4940.9799999999996</v>
      </c>
      <c r="M23" s="19" t="s">
        <v>37</v>
      </c>
      <c r="N23" s="19" t="s">
        <v>52</v>
      </c>
    </row>
    <row r="24" spans="1:14" x14ac:dyDescent="0.25">
      <c r="A24" s="17" t="s">
        <v>129</v>
      </c>
      <c r="B24" s="17" t="s">
        <v>130</v>
      </c>
      <c r="C24" s="18">
        <v>46194</v>
      </c>
      <c r="D24" s="11">
        <v>8409.44</v>
      </c>
      <c r="E24" s="11">
        <v>7127.58</v>
      </c>
      <c r="F24" s="17" t="s">
        <v>131</v>
      </c>
      <c r="G24" s="17" t="s">
        <v>63</v>
      </c>
      <c r="H24" s="17" t="s">
        <v>132</v>
      </c>
      <c r="I24" s="17" t="s">
        <v>44</v>
      </c>
      <c r="J24" s="19" t="s">
        <v>45</v>
      </c>
      <c r="K24" s="11">
        <v>1604.21</v>
      </c>
      <c r="L24" s="11">
        <v>6805.23</v>
      </c>
      <c r="M24" s="19" t="s">
        <v>46</v>
      </c>
      <c r="N24" s="19" t="s">
        <v>133</v>
      </c>
    </row>
    <row r="25" spans="1:14" x14ac:dyDescent="0.25">
      <c r="A25" s="17" t="s">
        <v>134</v>
      </c>
      <c r="B25" s="17" t="s">
        <v>135</v>
      </c>
      <c r="C25" s="18">
        <v>46178</v>
      </c>
      <c r="D25" s="11">
        <v>10979.79</v>
      </c>
      <c r="E25" s="11">
        <v>10403.68</v>
      </c>
      <c r="F25" s="17" t="s">
        <v>136</v>
      </c>
      <c r="G25" s="17" t="s">
        <v>19</v>
      </c>
      <c r="H25" s="17" t="s">
        <v>137</v>
      </c>
      <c r="I25" s="17" t="s">
        <v>57</v>
      </c>
      <c r="J25" s="19" t="s">
        <v>58</v>
      </c>
      <c r="K25" s="11">
        <v>411.53</v>
      </c>
      <c r="L25" s="11">
        <v>10568.26</v>
      </c>
      <c r="M25" s="19" t="s">
        <v>23</v>
      </c>
      <c r="N25" s="19" t="s">
        <v>133</v>
      </c>
    </row>
    <row r="26" spans="1:14" x14ac:dyDescent="0.25">
      <c r="A26" s="17" t="s">
        <v>138</v>
      </c>
      <c r="B26" s="17" t="s">
        <v>139</v>
      </c>
      <c r="C26" s="18">
        <v>46112</v>
      </c>
      <c r="D26" s="11">
        <v>1497.33</v>
      </c>
      <c r="E26" s="11">
        <v>1636.06</v>
      </c>
      <c r="F26" s="17" t="s">
        <v>140</v>
      </c>
      <c r="G26" s="17" t="s">
        <v>63</v>
      </c>
      <c r="H26" s="17" t="s">
        <v>141</v>
      </c>
      <c r="I26" s="17" t="s">
        <v>89</v>
      </c>
      <c r="J26" s="19" t="s">
        <v>90</v>
      </c>
      <c r="K26" s="11">
        <v>397.99</v>
      </c>
      <c r="L26" s="11">
        <v>1099.3399999999999</v>
      </c>
      <c r="M26" s="19" t="s">
        <v>83</v>
      </c>
      <c r="N26" s="19" t="s">
        <v>67</v>
      </c>
    </row>
    <row r="27" spans="1:14" x14ac:dyDescent="0.25">
      <c r="A27" s="17" t="s">
        <v>142</v>
      </c>
      <c r="B27" s="17" t="s">
        <v>143</v>
      </c>
      <c r="C27" s="18">
        <v>46228</v>
      </c>
      <c r="D27" s="11">
        <v>8781</v>
      </c>
      <c r="E27" s="11">
        <v>8934.4599999999991</v>
      </c>
      <c r="F27" s="17" t="s">
        <v>144</v>
      </c>
      <c r="G27" s="17" t="s">
        <v>42</v>
      </c>
      <c r="H27" s="17" t="s">
        <v>145</v>
      </c>
      <c r="I27" s="17" t="s">
        <v>65</v>
      </c>
      <c r="J27" s="19" t="s">
        <v>66</v>
      </c>
      <c r="K27" s="11">
        <v>593.09</v>
      </c>
      <c r="L27" s="11">
        <v>8187.91</v>
      </c>
      <c r="M27" s="19" t="s">
        <v>37</v>
      </c>
      <c r="N27" s="19" t="s">
        <v>84</v>
      </c>
    </row>
    <row r="28" spans="1:14" x14ac:dyDescent="0.25">
      <c r="A28" s="17" t="s">
        <v>146</v>
      </c>
      <c r="B28" s="17" t="s">
        <v>147</v>
      </c>
      <c r="C28" s="18">
        <v>46147</v>
      </c>
      <c r="D28" s="11">
        <v>13490.8</v>
      </c>
      <c r="E28" s="11">
        <v>16028.64</v>
      </c>
      <c r="F28" s="17" t="s">
        <v>148</v>
      </c>
      <c r="G28" s="17" t="s">
        <v>19</v>
      </c>
      <c r="H28" s="17" t="s">
        <v>149</v>
      </c>
      <c r="I28" s="17" t="s">
        <v>95</v>
      </c>
      <c r="J28" s="19" t="s">
        <v>96</v>
      </c>
      <c r="K28" s="11">
        <v>3513.57</v>
      </c>
      <c r="L28" s="11">
        <v>9977.23</v>
      </c>
      <c r="M28" s="19" t="s">
        <v>37</v>
      </c>
      <c r="N28" s="19" t="s">
        <v>30</v>
      </c>
    </row>
    <row r="29" spans="1:14" x14ac:dyDescent="0.25">
      <c r="A29" s="17" t="s">
        <v>150</v>
      </c>
      <c r="B29" s="17" t="s">
        <v>151</v>
      </c>
      <c r="C29" s="18">
        <v>46114</v>
      </c>
      <c r="D29" s="11">
        <v>12852.62</v>
      </c>
      <c r="E29" s="11">
        <v>14880.75</v>
      </c>
      <c r="F29" s="17" t="s">
        <v>152</v>
      </c>
      <c r="G29" s="17" t="s">
        <v>42</v>
      </c>
      <c r="H29" s="17" t="s">
        <v>153</v>
      </c>
      <c r="I29" s="17" t="s">
        <v>35</v>
      </c>
      <c r="J29" s="19" t="s">
        <v>36</v>
      </c>
      <c r="K29" s="11">
        <v>1299.3800000000001</v>
      </c>
      <c r="L29" s="11">
        <v>11553.24</v>
      </c>
      <c r="M29" s="19" t="s">
        <v>37</v>
      </c>
      <c r="N29" s="19" t="s">
        <v>72</v>
      </c>
    </row>
    <row r="30" spans="1:14" x14ac:dyDescent="0.25">
      <c r="A30" s="17" t="s">
        <v>154</v>
      </c>
      <c r="B30" s="17" t="s">
        <v>155</v>
      </c>
      <c r="C30" s="18">
        <v>46099</v>
      </c>
      <c r="D30" s="11">
        <v>10231.84</v>
      </c>
      <c r="E30" s="11">
        <v>8746.7000000000007</v>
      </c>
      <c r="F30" s="17" t="s">
        <v>156</v>
      </c>
      <c r="G30" s="17" t="s">
        <v>19</v>
      </c>
      <c r="H30" s="17" t="s">
        <v>157</v>
      </c>
      <c r="I30" s="17" t="s">
        <v>95</v>
      </c>
      <c r="J30" s="19" t="s">
        <v>96</v>
      </c>
      <c r="K30" s="11">
        <v>624.22</v>
      </c>
      <c r="L30" s="11">
        <v>9607.6200000000008</v>
      </c>
      <c r="M30" s="19" t="s">
        <v>77</v>
      </c>
      <c r="N30" s="19" t="s">
        <v>59</v>
      </c>
    </row>
    <row r="31" spans="1:14" x14ac:dyDescent="0.25">
      <c r="A31" s="17" t="s">
        <v>158</v>
      </c>
      <c r="B31" s="17" t="s">
        <v>159</v>
      </c>
      <c r="C31" s="18">
        <v>46220</v>
      </c>
      <c r="D31" s="11">
        <v>13966.16</v>
      </c>
      <c r="E31" s="11">
        <v>15753.83</v>
      </c>
      <c r="F31" s="17" t="s">
        <v>160</v>
      </c>
      <c r="G31" s="17" t="s">
        <v>42</v>
      </c>
      <c r="H31" s="17" t="s">
        <v>161</v>
      </c>
      <c r="I31" s="17" t="s">
        <v>95</v>
      </c>
      <c r="J31" s="19" t="s">
        <v>96</v>
      </c>
      <c r="K31" s="11">
        <v>2828.79</v>
      </c>
      <c r="L31" s="11">
        <v>11137.37</v>
      </c>
      <c r="M31" s="19" t="s">
        <v>162</v>
      </c>
      <c r="N31" s="19" t="s">
        <v>84</v>
      </c>
    </row>
    <row r="32" spans="1:14" x14ac:dyDescent="0.25">
      <c r="A32" s="17" t="s">
        <v>163</v>
      </c>
      <c r="B32" s="17" t="s">
        <v>164</v>
      </c>
      <c r="C32" s="18">
        <v>46028</v>
      </c>
      <c r="D32" s="11">
        <v>16885.57</v>
      </c>
      <c r="E32" s="11">
        <v>18233.36</v>
      </c>
      <c r="F32" s="17" t="s">
        <v>165</v>
      </c>
      <c r="G32" s="17" t="s">
        <v>81</v>
      </c>
      <c r="H32" s="17" t="s">
        <v>166</v>
      </c>
      <c r="I32" s="17" t="s">
        <v>167</v>
      </c>
      <c r="J32" s="19" t="s">
        <v>168</v>
      </c>
      <c r="K32" s="11">
        <v>5158.62</v>
      </c>
      <c r="L32" s="11">
        <v>11726.95</v>
      </c>
      <c r="M32" s="19" t="s">
        <v>83</v>
      </c>
      <c r="N32" s="19" t="s">
        <v>72</v>
      </c>
    </row>
    <row r="33" spans="1:14" x14ac:dyDescent="0.25">
      <c r="A33" s="17" t="s">
        <v>169</v>
      </c>
      <c r="B33" s="17" t="s">
        <v>170</v>
      </c>
      <c r="C33" s="18">
        <v>46076</v>
      </c>
      <c r="D33" s="11">
        <v>6925.22</v>
      </c>
      <c r="E33" s="11">
        <v>5735.25</v>
      </c>
      <c r="F33" s="17" t="s">
        <v>171</v>
      </c>
      <c r="G33" s="17" t="s">
        <v>19</v>
      </c>
      <c r="H33" s="17" t="s">
        <v>172</v>
      </c>
      <c r="I33" s="17" t="s">
        <v>65</v>
      </c>
      <c r="J33" s="19" t="s">
        <v>66</v>
      </c>
      <c r="K33" s="11">
        <v>1626.16</v>
      </c>
      <c r="L33" s="11">
        <v>5299.06</v>
      </c>
      <c r="M33" s="19" t="s">
        <v>77</v>
      </c>
      <c r="N33" s="19" t="s">
        <v>133</v>
      </c>
    </row>
    <row r="34" spans="1:14" x14ac:dyDescent="0.25">
      <c r="A34" s="17" t="s">
        <v>173</v>
      </c>
      <c r="B34" s="17" t="s">
        <v>174</v>
      </c>
      <c r="C34" s="18">
        <v>46177</v>
      </c>
      <c r="D34" s="11">
        <v>10694.2</v>
      </c>
      <c r="E34" s="11">
        <v>9003.7099999999991</v>
      </c>
      <c r="F34" s="17" t="s">
        <v>175</v>
      </c>
      <c r="G34" s="17" t="s">
        <v>19</v>
      </c>
      <c r="H34" s="17" t="s">
        <v>176</v>
      </c>
      <c r="I34" s="17" t="s">
        <v>35</v>
      </c>
      <c r="J34" s="19" t="s">
        <v>36</v>
      </c>
      <c r="K34" s="11">
        <v>2333.89</v>
      </c>
      <c r="L34" s="11">
        <v>8360.31</v>
      </c>
      <c r="M34" s="19" t="s">
        <v>23</v>
      </c>
      <c r="N34" s="19" t="s">
        <v>24</v>
      </c>
    </row>
  </sheetData>
  <mergeCells count="2">
    <mergeCell ref="A2:N2"/>
    <mergeCell ref="A1:N1"/>
  </mergeCell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showGridLines="0" workbookViewId="0">
      <selection sqref="A1:D1"/>
    </sheetView>
  </sheetViews>
  <sheetFormatPr defaultRowHeight="14.5" x14ac:dyDescent="0.35"/>
  <cols>
    <col min="1" max="1" width="28" customWidth="1"/>
    <col min="2" max="2" width="22" customWidth="1"/>
    <col min="3" max="4" width="18" customWidth="1"/>
  </cols>
  <sheetData>
    <row r="1" spans="1:4" ht="19.5" x14ac:dyDescent="0.45">
      <c r="A1" s="10" t="s">
        <v>177</v>
      </c>
      <c r="B1" s="9"/>
      <c r="C1" s="9"/>
      <c r="D1" s="9"/>
    </row>
    <row r="3" spans="1:4" x14ac:dyDescent="0.35">
      <c r="A3" s="2" t="s">
        <v>178</v>
      </c>
      <c r="B3" s="2" t="s">
        <v>179</v>
      </c>
      <c r="C3" s="3"/>
      <c r="D3" s="3"/>
    </row>
    <row r="4" spans="1:4" x14ac:dyDescent="0.35">
      <c r="A4" s="4" t="s">
        <v>180</v>
      </c>
      <c r="B4" s="4">
        <f>COUNTA('Overpayment Claims'!A5:A34)</f>
        <v>30</v>
      </c>
    </row>
    <row r="5" spans="1:4" x14ac:dyDescent="0.35">
      <c r="A5" s="4" t="s">
        <v>5</v>
      </c>
      <c r="B5" s="5">
        <f>SUM('Overpayment Claims'!D5:D34)</f>
        <v>275868.59999999998</v>
      </c>
    </row>
    <row r="6" spans="1:4" x14ac:dyDescent="0.35">
      <c r="A6" s="4" t="s">
        <v>6</v>
      </c>
      <c r="B6" s="5">
        <f>SUM('Overpayment Claims'!E5:E34)</f>
        <v>273033.14999999997</v>
      </c>
    </row>
    <row r="7" spans="1:4" x14ac:dyDescent="0.35">
      <c r="A7" s="4" t="s">
        <v>12</v>
      </c>
      <c r="B7" s="5">
        <f>SUM('Overpayment Claims'!K5:K34)</f>
        <v>42190.64</v>
      </c>
    </row>
    <row r="8" spans="1:4" x14ac:dyDescent="0.35">
      <c r="A8" s="4" t="s">
        <v>13</v>
      </c>
      <c r="B8" s="5">
        <f>SUM('Overpayment Claims'!L5:L34)</f>
        <v>233677.96000000005</v>
      </c>
    </row>
    <row r="9" spans="1:4" x14ac:dyDescent="0.35">
      <c r="A9" s="4" t="s">
        <v>181</v>
      </c>
      <c r="B9" s="5">
        <f>AVERAGE('Overpayment Claims'!K5:K34)</f>
        <v>1406.3546666666666</v>
      </c>
    </row>
    <row r="12" spans="1:4" ht="58" x14ac:dyDescent="0.35">
      <c r="A12" s="6" t="s">
        <v>182</v>
      </c>
      <c r="B12" s="7" t="s">
        <v>183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showGridLines="0" workbookViewId="0">
      <selection activeCell="B16" sqref="B16"/>
    </sheetView>
  </sheetViews>
  <sheetFormatPr defaultRowHeight="14.5" x14ac:dyDescent="0.35"/>
  <cols>
    <col min="1" max="1" width="30" customWidth="1"/>
    <col min="2" max="2" width="72" customWidth="1"/>
  </cols>
  <sheetData>
    <row r="1" spans="1:2" ht="19.5" x14ac:dyDescent="0.45">
      <c r="A1" s="10" t="s">
        <v>184</v>
      </c>
      <c r="B1" s="9"/>
    </row>
    <row r="3" spans="1:2" x14ac:dyDescent="0.35">
      <c r="A3" s="8" t="s">
        <v>185</v>
      </c>
      <c r="B3" s="8" t="s">
        <v>186</v>
      </c>
    </row>
    <row r="4" spans="1:2" x14ac:dyDescent="0.35">
      <c r="A4" s="4" t="s">
        <v>2</v>
      </c>
      <c r="B4" s="1" t="s">
        <v>187</v>
      </c>
    </row>
    <row r="5" spans="1:2" x14ac:dyDescent="0.35">
      <c r="A5" s="4" t="s">
        <v>3</v>
      </c>
      <c r="B5" s="1" t="s">
        <v>188</v>
      </c>
    </row>
    <row r="6" spans="1:2" x14ac:dyDescent="0.35">
      <c r="A6" s="4" t="s">
        <v>4</v>
      </c>
      <c r="B6" s="1" t="s">
        <v>189</v>
      </c>
    </row>
    <row r="7" spans="1:2" x14ac:dyDescent="0.35">
      <c r="A7" s="4" t="s">
        <v>5</v>
      </c>
      <c r="B7" s="1" t="s">
        <v>190</v>
      </c>
    </row>
    <row r="8" spans="1:2" x14ac:dyDescent="0.35">
      <c r="A8" s="4" t="s">
        <v>6</v>
      </c>
      <c r="B8" s="1" t="s">
        <v>191</v>
      </c>
    </row>
    <row r="9" spans="1:2" x14ac:dyDescent="0.35">
      <c r="A9" s="4" t="s">
        <v>7</v>
      </c>
      <c r="B9" s="1" t="s">
        <v>192</v>
      </c>
    </row>
    <row r="10" spans="1:2" x14ac:dyDescent="0.35">
      <c r="A10" s="4" t="s">
        <v>8</v>
      </c>
      <c r="B10" s="1" t="s">
        <v>193</v>
      </c>
    </row>
    <row r="11" spans="1:2" x14ac:dyDescent="0.35">
      <c r="A11" s="4" t="s">
        <v>9</v>
      </c>
      <c r="B11" s="1" t="s">
        <v>194</v>
      </c>
    </row>
    <row r="12" spans="1:2" x14ac:dyDescent="0.35">
      <c r="A12" s="4" t="s">
        <v>10</v>
      </c>
      <c r="B12" s="1" t="s">
        <v>195</v>
      </c>
    </row>
    <row r="13" spans="1:2" x14ac:dyDescent="0.35">
      <c r="A13" s="4" t="s">
        <v>11</v>
      </c>
      <c r="B13" s="1" t="s">
        <v>196</v>
      </c>
    </row>
    <row r="14" spans="1:2" x14ac:dyDescent="0.35">
      <c r="A14" s="4" t="s">
        <v>12</v>
      </c>
      <c r="B14" s="1" t="s">
        <v>197</v>
      </c>
    </row>
    <row r="15" spans="1:2" x14ac:dyDescent="0.35">
      <c r="A15" s="4" t="s">
        <v>13</v>
      </c>
      <c r="B15" s="1" t="s">
        <v>198</v>
      </c>
    </row>
    <row r="16" spans="1:2" x14ac:dyDescent="0.35">
      <c r="A16" s="4" t="s">
        <v>14</v>
      </c>
      <c r="B16" s="1" t="s">
        <v>199</v>
      </c>
    </row>
    <row r="17" spans="1:2" x14ac:dyDescent="0.35">
      <c r="A17" s="4" t="s">
        <v>15</v>
      </c>
      <c r="B17" s="1" t="s">
        <v>200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Overpayment Claims</vt:lpstr>
      <vt:lpstr>Summary</vt:lpstr>
      <vt:lpstr>Data 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Chandrasekaran, Udayasree (Cognizant)</dc:creator>
  <cp:keywords/>
  <dc:description/>
  <cp:lastModifiedBy>Prakash Hajela, Rajneesh (Cognizant)</cp:lastModifiedBy>
  <cp:revision/>
  <dcterms:created xsi:type="dcterms:W3CDTF">2026-08-08T19:50:05Z</dcterms:created>
  <dcterms:modified xsi:type="dcterms:W3CDTF">2026-10-03T23:19:34Z</dcterms:modified>
  <cp:category/>
  <cp:contentStatus/>
</cp:coreProperties>
</file>